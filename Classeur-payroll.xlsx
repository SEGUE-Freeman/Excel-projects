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b5db3bc3f497aa/Documents/Projets_Data/Projets-excel/"/>
    </mc:Choice>
  </mc:AlternateContent>
  <xr:revisionPtr revIDLastSave="0" documentId="8_{01DF2E26-234D-4B1C-8C35-8B9BA8C497EF}" xr6:coauthVersionLast="47" xr6:coauthVersionMax="47" xr10:uidLastSave="{00000000-0000-0000-0000-000000000000}"/>
  <bookViews>
    <workbookView xWindow="-110" yWindow="-110" windowWidth="19420" windowHeight="11020" xr2:uid="{47262792-F7E1-44FF-9CC7-4C96099272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" l="1"/>
  <c r="AA26" i="1"/>
  <c r="Z26" i="1"/>
  <c r="Y26" i="1"/>
  <c r="X26" i="1"/>
  <c r="W26" i="1"/>
  <c r="V26" i="1"/>
  <c r="U26" i="1"/>
  <c r="T26" i="1"/>
  <c r="S26" i="1"/>
  <c r="AB25" i="1"/>
  <c r="AA25" i="1"/>
  <c r="Z25" i="1"/>
  <c r="Y25" i="1"/>
  <c r="X25" i="1"/>
  <c r="W25" i="1"/>
  <c r="V25" i="1"/>
  <c r="U25" i="1"/>
  <c r="T25" i="1"/>
  <c r="S25" i="1"/>
  <c r="AB24" i="1"/>
  <c r="AA24" i="1"/>
  <c r="Z24" i="1"/>
  <c r="Y24" i="1"/>
  <c r="X24" i="1"/>
  <c r="W24" i="1"/>
  <c r="V24" i="1"/>
  <c r="U24" i="1"/>
  <c r="T24" i="1"/>
  <c r="S24" i="1"/>
  <c r="AB23" i="1"/>
  <c r="AA23" i="1"/>
  <c r="Z23" i="1"/>
  <c r="Y23" i="1"/>
  <c r="X23" i="1"/>
  <c r="W23" i="1"/>
  <c r="V23" i="1"/>
  <c r="U23" i="1"/>
  <c r="T23" i="1"/>
  <c r="S23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AB20" i="1"/>
  <c r="AA20" i="1"/>
  <c r="Z20" i="1"/>
  <c r="Y20" i="1"/>
  <c r="AB19" i="1"/>
  <c r="AA19" i="1"/>
  <c r="Z19" i="1"/>
  <c r="Y19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AA4" i="1"/>
  <c r="Z4" i="1"/>
  <c r="Y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15" i="1"/>
  <c r="T17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W16" i="1"/>
  <c r="V16" i="1"/>
  <c r="U16" i="1"/>
  <c r="T16" i="1"/>
  <c r="W15" i="1"/>
  <c r="V15" i="1"/>
  <c r="U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J17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J20" i="1"/>
  <c r="J19" i="1"/>
  <c r="J18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  <c r="K3" i="1"/>
  <c r="L3" i="1" s="1"/>
  <c r="M3" i="1" s="1"/>
  <c r="J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4" i="1"/>
  <c r="H26" i="1"/>
  <c r="G26" i="1"/>
  <c r="F26" i="1"/>
  <c r="H25" i="1"/>
  <c r="G25" i="1"/>
  <c r="F25" i="1"/>
  <c r="H24" i="1"/>
  <c r="G24" i="1"/>
  <c r="F24" i="1"/>
  <c r="H23" i="1"/>
  <c r="G23" i="1"/>
  <c r="F23" i="1"/>
  <c r="E26" i="1"/>
  <c r="E25" i="1"/>
  <c r="E24" i="1"/>
  <c r="E23" i="1"/>
  <c r="C26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Q5" i="1"/>
  <c r="Q23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O5" i="1"/>
  <c r="O23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R4" i="1"/>
  <c r="R26" i="1" s="1"/>
  <c r="Q4" i="1"/>
  <c r="Q26" i="1" s="1"/>
  <c r="P4" i="1"/>
  <c r="P25" i="1" s="1"/>
  <c r="Y3" i="1"/>
  <c r="Z3" i="1" s="1"/>
  <c r="AA3" i="1" s="1"/>
  <c r="AB3" i="1" s="1"/>
  <c r="T3" i="1"/>
  <c r="U3" i="1" s="1"/>
  <c r="V3" i="1" s="1"/>
  <c r="W3" i="1" s="1"/>
  <c r="O3" i="1"/>
  <c r="P3" i="1" s="1"/>
  <c r="Q3" i="1" s="1"/>
  <c r="R3" i="1" s="1"/>
  <c r="D26" i="1"/>
  <c r="D25" i="1"/>
  <c r="D24" i="1"/>
  <c r="D23" i="1"/>
  <c r="C24" i="1"/>
  <c r="C25" i="1"/>
  <c r="C23" i="1"/>
  <c r="Q25" i="1" l="1"/>
  <c r="Q24" i="1"/>
  <c r="R23" i="1"/>
  <c r="R25" i="1"/>
  <c r="O26" i="1"/>
  <c r="O24" i="1"/>
  <c r="P24" i="1"/>
  <c r="P26" i="1"/>
  <c r="R24" i="1"/>
  <c r="O25" i="1"/>
  <c r="P23" i="1"/>
  <c r="N23" i="1"/>
  <c r="N26" i="1"/>
  <c r="N24" i="1"/>
  <c r="N25" i="1"/>
</calcChain>
</file>

<file path=xl/sharedStrings.xml><?xml version="1.0" encoding="utf-8"?>
<sst xmlns="http://schemas.openxmlformats.org/spreadsheetml/2006/main" count="47" uniqueCount="46">
  <si>
    <t>Employee Payroll</t>
  </si>
  <si>
    <t>Last Name</t>
  </si>
  <si>
    <t>First Name</t>
  </si>
  <si>
    <t>Hourly Wage</t>
  </si>
  <si>
    <t>House worked</t>
  </si>
  <si>
    <t>Pay</t>
  </si>
  <si>
    <t>Kern</t>
  </si>
  <si>
    <t>Howard</t>
  </si>
  <si>
    <t>O'Donald</t>
  </si>
  <si>
    <t>Smith</t>
  </si>
  <si>
    <t>Baker</t>
  </si>
  <si>
    <t>Velinda</t>
  </si>
  <si>
    <t>Canehan</t>
  </si>
  <si>
    <t>Westerfield</t>
  </si>
  <si>
    <t>Penfold</t>
  </si>
  <si>
    <t>Islington</t>
  </si>
  <si>
    <t>Young</t>
  </si>
  <si>
    <t>Trenton</t>
  </si>
  <si>
    <t>Engleheart</t>
  </si>
  <si>
    <t>Norman</t>
  </si>
  <si>
    <t>Mann</t>
  </si>
  <si>
    <t>Underhill</t>
  </si>
  <si>
    <t>Genesis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</si>
  <si>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</si>
  <si>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</si>
  <si>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</si>
  <si>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</si>
  <si>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</si>
  <si>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</si>
  <si>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</si>
  <si>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</si>
  <si>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</si>
  <si>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</si>
  <si>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</si>
  <si>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</si>
  <si>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Blessings</t>
  </si>
  <si>
    <t>Bill</t>
  </si>
  <si>
    <t>Trent</t>
  </si>
  <si>
    <t>Hernandez</t>
  </si>
  <si>
    <t>Chandra</t>
  </si>
  <si>
    <t>Max</t>
  </si>
  <si>
    <t>Min</t>
  </si>
  <si>
    <t>Average</t>
  </si>
  <si>
    <t>Total</t>
  </si>
  <si>
    <t>OverTime Bonus</t>
  </si>
  <si>
    <t>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</si>
</sst>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71" formatCode="_-* #,##0\ [$€-40C]_-;\-* #,##0\ [$€-40C]_-;_-* &quot;-&quot;\ [$€-40C]_-;_-@_-"/>
    <numFmt numFmtId="176" formatCode="#,##0.0_ ;\-#,##0.0\ 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2" fontId="0" fillId="0" borderId="0" xfId="0" applyNumberFormat="1"/>
    <xf numFmtId="171" fontId="0" fillId="0" borderId="0" xfId="0" applyNumberFormat="1"/>
    <xf numFmtId="0" fontId="0" fillId="2" borderId="0" xfId="0" applyFill="1"/>
    <xf numFmtId="15" fontId="0" fillId="2" borderId="0" xfId="0" applyNumberFormat="1" applyFill="1"/>
    <xf numFmtId="0" fontId="0" fillId="3" borderId="0" xfId="0" applyFill="1"/>
    <xf numFmtId="15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15" fontId="0" fillId="4" borderId="0" xfId="0" applyNumberFormat="1" applyFill="1"/>
    <xf numFmtId="0" fontId="0" fillId="5" borderId="0" xfId="0" applyFill="1"/>
    <xf numFmtId="15" fontId="0" fillId="5" borderId="0" xfId="0" applyNumberFormat="1" applyFill="1"/>
    <xf numFmtId="176" fontId="0" fillId="0" borderId="0" xfId="0" applyNumberFormat="1"/>
    <xf numFmtId="0" fontId="0" fillId="6" borderId="0" xfId="0" applyFill="1"/>
    <xf numFmtId="15" fontId="0" fillId="6" borderId="0" xfId="0" applyNumberFormat="1" applyFill="1"/>
    <xf numFmtId="164" fontId="0" fillId="4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5DC2-BFB0-403B-87C8-243A84693996}">
  <dimension ref="A1:AB26"/>
  <sheetViews>
    <sheetView tabSelected="1" topLeftCell="E1" zoomScale="62" zoomScaleNormal="100" workbookViewId="0">
      <selection activeCell="J29" sqref="J29"/>
    </sheetView>
  </sheetViews>
  <sheetFormatPr baseColWidth="10" defaultRowHeight="14.5" x14ac:dyDescent="0.35"/>
  <cols>
    <col min="1" max="1" width="13.81640625" customWidth="1"/>
    <col min="2" max="2" width="15.1796875" customWidth="1"/>
    <col min="3" max="3" width="18.6328125" customWidth="1"/>
    <col min="4" max="5" width="11.36328125" customWidth="1"/>
    <col min="6" max="6" width="9.7265625" customWidth="1"/>
    <col min="7" max="7" width="10" customWidth="1"/>
    <col min="8" max="13" width="10.7265625" customWidth="1"/>
  </cols>
  <sheetData>
    <row r="1" spans="1:28" x14ac:dyDescent="0.35">
      <c r="A1" t="s">
        <v>0</v>
      </c>
    </row>
    <row r="2" spans="1:28" x14ac:dyDescent="0.35">
      <c r="D2" s="4" t="s">
        <v>4</v>
      </c>
      <c r="E2" s="4"/>
      <c r="F2" s="4"/>
      <c r="G2" s="4"/>
      <c r="H2" s="4"/>
      <c r="I2" s="14" t="s">
        <v>45</v>
      </c>
      <c r="J2" s="14"/>
      <c r="K2" s="14"/>
      <c r="L2" s="14"/>
      <c r="M2" s="14"/>
      <c r="N2" s="6" t="s">
        <v>5</v>
      </c>
      <c r="O2" s="6"/>
      <c r="P2" s="6"/>
      <c r="Q2" s="6"/>
      <c r="R2" s="6"/>
      <c r="S2" s="9" t="s">
        <v>44</v>
      </c>
      <c r="T2" s="9"/>
      <c r="U2" s="9"/>
      <c r="V2" s="9"/>
      <c r="W2" s="9"/>
      <c r="X2" s="11" t="s">
        <v>43</v>
      </c>
      <c r="Y2" s="11"/>
      <c r="Z2" s="11"/>
      <c r="AA2" s="11"/>
      <c r="AB2" s="11"/>
    </row>
    <row r="3" spans="1:28" x14ac:dyDescent="0.35">
      <c r="A3" t="s">
        <v>1</v>
      </c>
      <c r="B3" t="s">
        <v>2</v>
      </c>
      <c r="C3" t="s">
        <v>3</v>
      </c>
      <c r="D3" s="5">
        <v>46023</v>
      </c>
      <c r="E3" s="5">
        <v>46024</v>
      </c>
      <c r="F3" s="5">
        <v>46025</v>
      </c>
      <c r="G3" s="5">
        <v>46026</v>
      </c>
      <c r="H3" s="5">
        <v>46027</v>
      </c>
      <c r="I3" s="15">
        <v>46023</v>
      </c>
      <c r="J3" s="15">
        <f>I3+7</f>
        <v>46030</v>
      </c>
      <c r="K3" s="15">
        <f t="shared" ref="K3:M3" si="0">J3+7</f>
        <v>46037</v>
      </c>
      <c r="L3" s="15">
        <f t="shared" si="0"/>
        <v>46044</v>
      </c>
      <c r="M3" s="15">
        <f t="shared" si="0"/>
        <v>46051</v>
      </c>
      <c r="N3" s="7">
        <v>46023</v>
      </c>
      <c r="O3" s="7">
        <f>N3+7</f>
        <v>46030</v>
      </c>
      <c r="P3" s="7">
        <f t="shared" ref="P3:R3" si="1">O3+7</f>
        <v>46037</v>
      </c>
      <c r="Q3" s="7">
        <f t="shared" si="1"/>
        <v>46044</v>
      </c>
      <c r="R3" s="7">
        <f t="shared" si="1"/>
        <v>46051</v>
      </c>
      <c r="S3" s="10">
        <v>46023</v>
      </c>
      <c r="T3" s="10">
        <f>S3+7</f>
        <v>46030</v>
      </c>
      <c r="U3" s="10">
        <f t="shared" ref="U3:W3" si="2">T3+7</f>
        <v>46037</v>
      </c>
      <c r="V3" s="10">
        <f t="shared" si="2"/>
        <v>46044</v>
      </c>
      <c r="W3" s="10">
        <f t="shared" si="2"/>
        <v>46051</v>
      </c>
      <c r="X3" s="12">
        <v>46023</v>
      </c>
      <c r="Y3" s="12">
        <f>X3+7</f>
        <v>46030</v>
      </c>
      <c r="Z3" s="12">
        <f t="shared" ref="Z3:AB3" si="3">Y3+7</f>
        <v>46037</v>
      </c>
      <c r="AA3" s="12">
        <f t="shared" si="3"/>
        <v>46044</v>
      </c>
      <c r="AB3" s="12">
        <f t="shared" si="3"/>
        <v>46051</v>
      </c>
    </row>
    <row r="4" spans="1:28" x14ac:dyDescent="0.35">
      <c r="A4" t="s">
        <v>6</v>
      </c>
      <c r="B4" t="s">
        <v>23</v>
      </c>
      <c r="C4" s="1">
        <v>15.9</v>
      </c>
      <c r="D4" s="4">
        <v>41</v>
      </c>
      <c r="E4" s="4">
        <v>43</v>
      </c>
      <c r="F4" s="4">
        <v>40</v>
      </c>
      <c r="G4" s="4">
        <v>39</v>
      </c>
      <c r="H4" s="4">
        <v>47</v>
      </c>
      <c r="I4" s="14">
        <f>IF(D4&gt;40,D4-40,0)</f>
        <v>1</v>
      </c>
      <c r="J4" s="14">
        <f>IF(E4&gt;40,E4-40,0)</f>
        <v>3</v>
      </c>
      <c r="K4" s="14">
        <f t="shared" ref="K4:M19" si="4">IF(F4&gt;40,F4-40,0)</f>
        <v>0</v>
      </c>
      <c r="L4" s="14">
        <f t="shared" si="4"/>
        <v>0</v>
      </c>
      <c r="M4" s="14">
        <f t="shared" si="4"/>
        <v>7</v>
      </c>
      <c r="N4" s="8">
        <f>C4*D4</f>
        <v>651.9</v>
      </c>
      <c r="O4" s="8">
        <f t="shared" ref="O4:O20" si="5">C4*E4</f>
        <v>683.7</v>
      </c>
      <c r="P4" s="8">
        <f>C4*F4</f>
        <v>636</v>
      </c>
      <c r="Q4" s="8">
        <f>C4*G4</f>
        <v>620.1</v>
      </c>
      <c r="R4" s="8">
        <f>C4*H4</f>
        <v>747.30000000000007</v>
      </c>
      <c r="S4" s="16">
        <f>0.5*C4*I4</f>
        <v>7.95</v>
      </c>
      <c r="T4" s="16">
        <f t="shared" ref="T4:W19" si="6">0.5*D4*J4</f>
        <v>61.5</v>
      </c>
      <c r="U4" s="16">
        <f t="shared" si="6"/>
        <v>0</v>
      </c>
      <c r="V4" s="16">
        <f t="shared" si="6"/>
        <v>0</v>
      </c>
      <c r="W4" s="16">
        <f t="shared" si="6"/>
        <v>136.5</v>
      </c>
      <c r="X4" s="17">
        <f>N4+S4</f>
        <v>659.85</v>
      </c>
      <c r="Y4" s="17">
        <f t="shared" ref="Y4:AB19" si="7">O4+T4</f>
        <v>745.2</v>
      </c>
      <c r="Z4" s="17">
        <f t="shared" si="7"/>
        <v>636</v>
      </c>
      <c r="AA4" s="17">
        <f t="shared" si="7"/>
        <v>620.1</v>
      </c>
      <c r="AB4" s="17">
        <f t="shared" si="7"/>
        <v>883.80000000000007</v>
      </c>
    </row>
    <row r="5" spans="1:28" x14ac:dyDescent="0.35">
      <c r="A5" t="s">
        <v>7</v>
      </c>
      <c r="B5" t="s">
        <v>24</v>
      </c>
      <c r="C5" s="1">
        <v>10</v>
      </c>
      <c r="D5" s="4">
        <v>42</v>
      </c>
      <c r="E5" s="4">
        <v>35</v>
      </c>
      <c r="F5" s="4">
        <v>44</v>
      </c>
      <c r="G5" s="4">
        <v>37</v>
      </c>
      <c r="H5" s="4">
        <v>43</v>
      </c>
      <c r="I5" s="14">
        <f t="shared" ref="I5:J20" si="8">IF(D5&gt;40,D5-40,0)</f>
        <v>2</v>
      </c>
      <c r="J5" s="14">
        <f t="shared" si="8"/>
        <v>0</v>
      </c>
      <c r="K5" s="14">
        <f t="shared" si="4"/>
        <v>4</v>
      </c>
      <c r="L5" s="14">
        <f t="shared" si="4"/>
        <v>0</v>
      </c>
      <c r="M5" s="14">
        <f t="shared" si="4"/>
        <v>3</v>
      </c>
      <c r="N5" s="8">
        <f t="shared" ref="N5:N20" si="9">C5*D5</f>
        <v>420</v>
      </c>
      <c r="O5" s="8">
        <f t="shared" si="5"/>
        <v>350</v>
      </c>
      <c r="P5" s="8">
        <f t="shared" ref="P5:P20" si="10">C5*F5</f>
        <v>440</v>
      </c>
      <c r="Q5" s="8">
        <f t="shared" ref="Q5:Q20" si="11">C5*G5</f>
        <v>370</v>
      </c>
      <c r="R5" s="8">
        <f t="shared" ref="R5:R20" si="12">C5*H5</f>
        <v>430</v>
      </c>
      <c r="S5" s="16">
        <f t="shared" ref="S5:S20" si="13">0.5*C5*I5</f>
        <v>10</v>
      </c>
      <c r="T5" s="16">
        <f t="shared" si="6"/>
        <v>0</v>
      </c>
      <c r="U5" s="16">
        <f t="shared" si="6"/>
        <v>70</v>
      </c>
      <c r="V5" s="16">
        <f t="shared" si="6"/>
        <v>0</v>
      </c>
      <c r="W5" s="16">
        <f t="shared" si="6"/>
        <v>55.5</v>
      </c>
      <c r="X5" s="17">
        <f t="shared" ref="X5:X20" si="14">N5+S5</f>
        <v>430</v>
      </c>
      <c r="Y5" s="17">
        <f t="shared" si="7"/>
        <v>350</v>
      </c>
      <c r="Z5" s="17">
        <f t="shared" si="7"/>
        <v>510</v>
      </c>
      <c r="AA5" s="17">
        <f t="shared" si="7"/>
        <v>370</v>
      </c>
      <c r="AB5" s="17">
        <f t="shared" si="7"/>
        <v>485.5</v>
      </c>
    </row>
    <row r="6" spans="1:28" x14ac:dyDescent="0.35">
      <c r="A6" t="s">
        <v>8</v>
      </c>
      <c r="B6" t="s">
        <v>25</v>
      </c>
      <c r="C6" s="1">
        <v>22.1</v>
      </c>
      <c r="D6" s="4">
        <v>49</v>
      </c>
      <c r="E6" s="4">
        <v>40</v>
      </c>
      <c r="F6" s="4">
        <v>39</v>
      </c>
      <c r="G6" s="4">
        <v>33</v>
      </c>
      <c r="H6" s="4">
        <v>34</v>
      </c>
      <c r="I6" s="14">
        <f t="shared" si="8"/>
        <v>9</v>
      </c>
      <c r="J6" s="14">
        <f t="shared" si="8"/>
        <v>0</v>
      </c>
      <c r="K6" s="14">
        <f t="shared" si="4"/>
        <v>0</v>
      </c>
      <c r="L6" s="14">
        <f t="shared" si="4"/>
        <v>0</v>
      </c>
      <c r="M6" s="14">
        <f t="shared" si="4"/>
        <v>0</v>
      </c>
      <c r="N6" s="8">
        <f t="shared" si="9"/>
        <v>1082.9000000000001</v>
      </c>
      <c r="O6" s="8">
        <f t="shared" si="5"/>
        <v>884</v>
      </c>
      <c r="P6" s="8">
        <f t="shared" si="10"/>
        <v>861.90000000000009</v>
      </c>
      <c r="Q6" s="8">
        <f t="shared" si="11"/>
        <v>729.30000000000007</v>
      </c>
      <c r="R6" s="8">
        <f t="shared" si="12"/>
        <v>751.40000000000009</v>
      </c>
      <c r="S6" s="16">
        <f t="shared" si="13"/>
        <v>99.45</v>
      </c>
      <c r="T6" s="16">
        <f t="shared" si="6"/>
        <v>0</v>
      </c>
      <c r="U6" s="16">
        <f t="shared" si="6"/>
        <v>0</v>
      </c>
      <c r="V6" s="16">
        <f t="shared" si="6"/>
        <v>0</v>
      </c>
      <c r="W6" s="16">
        <f t="shared" si="6"/>
        <v>0</v>
      </c>
      <c r="X6" s="17">
        <f t="shared" si="14"/>
        <v>1182.3500000000001</v>
      </c>
      <c r="Y6" s="17">
        <f t="shared" si="7"/>
        <v>884</v>
      </c>
      <c r="Z6" s="17">
        <f t="shared" si="7"/>
        <v>861.90000000000009</v>
      </c>
      <c r="AA6" s="17">
        <f t="shared" si="7"/>
        <v>729.30000000000007</v>
      </c>
      <c r="AB6" s="17">
        <f t="shared" si="7"/>
        <v>751.40000000000009</v>
      </c>
    </row>
    <row r="7" spans="1:28" x14ac:dyDescent="0.35">
      <c r="A7" t="s">
        <v>9</v>
      </c>
      <c r="B7" t="s">
        <v>27</v>
      </c>
      <c r="C7" s="1">
        <v>6.9</v>
      </c>
      <c r="D7" s="4">
        <v>39</v>
      </c>
      <c r="E7" s="4">
        <v>33</v>
      </c>
      <c r="F7" s="4">
        <v>40</v>
      </c>
      <c r="G7" s="4">
        <v>40</v>
      </c>
      <c r="H7" s="4">
        <v>37</v>
      </c>
      <c r="I7" s="14">
        <f t="shared" si="8"/>
        <v>0</v>
      </c>
      <c r="J7" s="14">
        <f t="shared" si="8"/>
        <v>0</v>
      </c>
      <c r="K7" s="14">
        <f t="shared" si="4"/>
        <v>0</v>
      </c>
      <c r="L7" s="14">
        <f t="shared" si="4"/>
        <v>0</v>
      </c>
      <c r="M7" s="14">
        <f t="shared" si="4"/>
        <v>0</v>
      </c>
      <c r="N7" s="8">
        <f t="shared" si="9"/>
        <v>269.10000000000002</v>
      </c>
      <c r="O7" s="8">
        <f t="shared" si="5"/>
        <v>227.70000000000002</v>
      </c>
      <c r="P7" s="8">
        <f t="shared" si="10"/>
        <v>276</v>
      </c>
      <c r="Q7" s="8">
        <f t="shared" si="11"/>
        <v>276</v>
      </c>
      <c r="R7" s="8">
        <f t="shared" si="12"/>
        <v>255.3</v>
      </c>
      <c r="S7" s="16">
        <f t="shared" si="13"/>
        <v>0</v>
      </c>
      <c r="T7" s="16">
        <f t="shared" si="6"/>
        <v>0</v>
      </c>
      <c r="U7" s="16">
        <f t="shared" si="6"/>
        <v>0</v>
      </c>
      <c r="V7" s="16">
        <f t="shared" si="6"/>
        <v>0</v>
      </c>
      <c r="W7" s="16">
        <f t="shared" si="6"/>
        <v>0</v>
      </c>
      <c r="X7" s="17">
        <f t="shared" si="14"/>
        <v>269.10000000000002</v>
      </c>
      <c r="Y7" s="17">
        <f t="shared" si="7"/>
        <v>227.70000000000002</v>
      </c>
      <c r="Z7" s="17">
        <f t="shared" si="7"/>
        <v>276</v>
      </c>
      <c r="AA7" s="17">
        <f t="shared" si="7"/>
        <v>276</v>
      </c>
      <c r="AB7" s="17">
        <f t="shared" si="7"/>
        <v>255.3</v>
      </c>
    </row>
    <row r="8" spans="1:28" x14ac:dyDescent="0.35">
      <c r="A8" t="s">
        <v>10</v>
      </c>
      <c r="B8" t="s">
        <v>28</v>
      </c>
      <c r="C8" s="1">
        <v>14.2</v>
      </c>
      <c r="D8" s="4">
        <v>44</v>
      </c>
      <c r="E8" s="4">
        <v>41</v>
      </c>
      <c r="F8" s="4">
        <v>45</v>
      </c>
      <c r="G8" s="4">
        <v>45</v>
      </c>
      <c r="H8" s="4">
        <v>39</v>
      </c>
      <c r="I8" s="14">
        <f t="shared" si="8"/>
        <v>4</v>
      </c>
      <c r="J8" s="14">
        <f t="shared" si="8"/>
        <v>1</v>
      </c>
      <c r="K8" s="14">
        <f t="shared" si="4"/>
        <v>5</v>
      </c>
      <c r="L8" s="14">
        <f t="shared" si="4"/>
        <v>5</v>
      </c>
      <c r="M8" s="14">
        <f t="shared" si="4"/>
        <v>0</v>
      </c>
      <c r="N8" s="8">
        <f t="shared" si="9"/>
        <v>624.79999999999995</v>
      </c>
      <c r="O8" s="8">
        <f t="shared" si="5"/>
        <v>582.19999999999993</v>
      </c>
      <c r="P8" s="8">
        <f t="shared" si="10"/>
        <v>639</v>
      </c>
      <c r="Q8" s="8">
        <f t="shared" si="11"/>
        <v>639</v>
      </c>
      <c r="R8" s="8">
        <f t="shared" si="12"/>
        <v>553.79999999999995</v>
      </c>
      <c r="S8" s="16">
        <f t="shared" si="13"/>
        <v>28.4</v>
      </c>
      <c r="T8" s="16">
        <f t="shared" si="6"/>
        <v>22</v>
      </c>
      <c r="U8" s="16">
        <f t="shared" si="6"/>
        <v>102.5</v>
      </c>
      <c r="V8" s="16">
        <f t="shared" si="6"/>
        <v>112.5</v>
      </c>
      <c r="W8" s="16">
        <f t="shared" si="6"/>
        <v>0</v>
      </c>
      <c r="X8" s="17">
        <f t="shared" si="14"/>
        <v>653.19999999999993</v>
      </c>
      <c r="Y8" s="17">
        <f t="shared" si="7"/>
        <v>604.19999999999993</v>
      </c>
      <c r="Z8" s="17">
        <f t="shared" si="7"/>
        <v>741.5</v>
      </c>
      <c r="AA8" s="17">
        <f t="shared" si="7"/>
        <v>751.5</v>
      </c>
      <c r="AB8" s="17">
        <f t="shared" si="7"/>
        <v>553.79999999999995</v>
      </c>
    </row>
    <row r="9" spans="1:28" x14ac:dyDescent="0.35">
      <c r="A9" t="s">
        <v>11</v>
      </c>
      <c r="B9" t="s">
        <v>29</v>
      </c>
      <c r="C9" s="1">
        <v>18</v>
      </c>
      <c r="D9" s="4">
        <v>55</v>
      </c>
      <c r="E9" s="4">
        <v>46</v>
      </c>
      <c r="F9" s="4">
        <v>41</v>
      </c>
      <c r="G9" s="4">
        <v>43</v>
      </c>
      <c r="H9" s="4">
        <v>32</v>
      </c>
      <c r="I9" s="14">
        <f t="shared" si="8"/>
        <v>15</v>
      </c>
      <c r="J9" s="14">
        <f t="shared" si="8"/>
        <v>6</v>
      </c>
      <c r="K9" s="14">
        <f t="shared" si="4"/>
        <v>1</v>
      </c>
      <c r="L9" s="14">
        <f t="shared" si="4"/>
        <v>3</v>
      </c>
      <c r="M9" s="14">
        <f t="shared" si="4"/>
        <v>0</v>
      </c>
      <c r="N9" s="8">
        <f t="shared" si="9"/>
        <v>990</v>
      </c>
      <c r="O9" s="8">
        <f t="shared" si="5"/>
        <v>828</v>
      </c>
      <c r="P9" s="8">
        <f t="shared" si="10"/>
        <v>738</v>
      </c>
      <c r="Q9" s="8">
        <f t="shared" si="11"/>
        <v>774</v>
      </c>
      <c r="R9" s="8">
        <f t="shared" si="12"/>
        <v>576</v>
      </c>
      <c r="S9" s="16">
        <f t="shared" si="13"/>
        <v>135</v>
      </c>
      <c r="T9" s="16">
        <f t="shared" si="6"/>
        <v>165</v>
      </c>
      <c r="U9" s="16">
        <f t="shared" si="6"/>
        <v>23</v>
      </c>
      <c r="V9" s="16">
        <f t="shared" si="6"/>
        <v>61.5</v>
      </c>
      <c r="W9" s="16">
        <f t="shared" si="6"/>
        <v>0</v>
      </c>
      <c r="X9" s="17">
        <f t="shared" si="14"/>
        <v>1125</v>
      </c>
      <c r="Y9" s="17">
        <f t="shared" si="7"/>
        <v>993</v>
      </c>
      <c r="Z9" s="17">
        <f t="shared" si="7"/>
        <v>761</v>
      </c>
      <c r="AA9" s="17">
        <f t="shared" si="7"/>
        <v>835.5</v>
      </c>
      <c r="AB9" s="17">
        <f t="shared" si="7"/>
        <v>576</v>
      </c>
    </row>
    <row r="10" spans="1:28" x14ac:dyDescent="0.35">
      <c r="A10" t="s">
        <v>12</v>
      </c>
      <c r="B10" t="s">
        <v>30</v>
      </c>
      <c r="C10" s="1">
        <v>17.5</v>
      </c>
      <c r="D10" s="4">
        <v>33</v>
      </c>
      <c r="E10" s="4">
        <v>42</v>
      </c>
      <c r="F10" s="4">
        <v>42</v>
      </c>
      <c r="G10" s="4">
        <v>41</v>
      </c>
      <c r="H10" s="4">
        <v>31</v>
      </c>
      <c r="I10" s="14">
        <f t="shared" si="8"/>
        <v>0</v>
      </c>
      <c r="J10" s="14">
        <f t="shared" si="8"/>
        <v>2</v>
      </c>
      <c r="K10" s="14">
        <f t="shared" si="4"/>
        <v>2</v>
      </c>
      <c r="L10" s="14">
        <f t="shared" si="4"/>
        <v>1</v>
      </c>
      <c r="M10" s="14">
        <f t="shared" si="4"/>
        <v>0</v>
      </c>
      <c r="N10" s="8">
        <f t="shared" si="9"/>
        <v>577.5</v>
      </c>
      <c r="O10" s="8">
        <f t="shared" si="5"/>
        <v>735</v>
      </c>
      <c r="P10" s="8">
        <f t="shared" si="10"/>
        <v>735</v>
      </c>
      <c r="Q10" s="8">
        <f t="shared" si="11"/>
        <v>717.5</v>
      </c>
      <c r="R10" s="8">
        <f t="shared" si="12"/>
        <v>542.5</v>
      </c>
      <c r="S10" s="16">
        <f t="shared" si="13"/>
        <v>0</v>
      </c>
      <c r="T10" s="16">
        <f t="shared" si="6"/>
        <v>33</v>
      </c>
      <c r="U10" s="16">
        <f t="shared" si="6"/>
        <v>42</v>
      </c>
      <c r="V10" s="16">
        <f t="shared" si="6"/>
        <v>21</v>
      </c>
      <c r="W10" s="16">
        <f t="shared" si="6"/>
        <v>0</v>
      </c>
      <c r="X10" s="17">
        <f t="shared" si="14"/>
        <v>577.5</v>
      </c>
      <c r="Y10" s="17">
        <f t="shared" si="7"/>
        <v>768</v>
      </c>
      <c r="Z10" s="17">
        <f t="shared" si="7"/>
        <v>777</v>
      </c>
      <c r="AA10" s="17">
        <f t="shared" si="7"/>
        <v>738.5</v>
      </c>
      <c r="AB10" s="17">
        <f t="shared" si="7"/>
        <v>542.5</v>
      </c>
    </row>
    <row r="11" spans="1:28" x14ac:dyDescent="0.35">
      <c r="A11" t="s">
        <v>13</v>
      </c>
      <c r="B11" t="s">
        <v>31</v>
      </c>
      <c r="C11" s="1">
        <v>14.7</v>
      </c>
      <c r="D11" s="4">
        <v>29</v>
      </c>
      <c r="E11" s="4">
        <v>40</v>
      </c>
      <c r="F11" s="4">
        <v>40</v>
      </c>
      <c r="G11" s="4">
        <v>40</v>
      </c>
      <c r="H11" s="4">
        <v>40</v>
      </c>
      <c r="I11" s="14">
        <f t="shared" si="8"/>
        <v>0</v>
      </c>
      <c r="J11" s="14">
        <f t="shared" si="8"/>
        <v>0</v>
      </c>
      <c r="K11" s="14">
        <f t="shared" si="4"/>
        <v>0</v>
      </c>
      <c r="L11" s="14">
        <f t="shared" si="4"/>
        <v>0</v>
      </c>
      <c r="M11" s="14">
        <f t="shared" si="4"/>
        <v>0</v>
      </c>
      <c r="N11" s="8">
        <f t="shared" si="9"/>
        <v>426.29999999999995</v>
      </c>
      <c r="O11" s="8">
        <f t="shared" si="5"/>
        <v>588</v>
      </c>
      <c r="P11" s="8">
        <f t="shared" si="10"/>
        <v>588</v>
      </c>
      <c r="Q11" s="8">
        <f t="shared" si="11"/>
        <v>588</v>
      </c>
      <c r="R11" s="8">
        <f t="shared" si="12"/>
        <v>588</v>
      </c>
      <c r="S11" s="16">
        <f t="shared" si="13"/>
        <v>0</v>
      </c>
      <c r="T11" s="16">
        <f t="shared" si="6"/>
        <v>0</v>
      </c>
      <c r="U11" s="16">
        <f t="shared" si="6"/>
        <v>0</v>
      </c>
      <c r="V11" s="16">
        <f t="shared" si="6"/>
        <v>0</v>
      </c>
      <c r="W11" s="16">
        <f t="shared" si="6"/>
        <v>0</v>
      </c>
      <c r="X11" s="17">
        <f t="shared" si="14"/>
        <v>426.29999999999995</v>
      </c>
      <c r="Y11" s="17">
        <f t="shared" si="7"/>
        <v>588</v>
      </c>
      <c r="Z11" s="17">
        <f t="shared" si="7"/>
        <v>588</v>
      </c>
      <c r="AA11" s="17">
        <f t="shared" si="7"/>
        <v>588</v>
      </c>
      <c r="AB11" s="17">
        <f t="shared" si="7"/>
        <v>588</v>
      </c>
    </row>
    <row r="12" spans="1:28" x14ac:dyDescent="0.35">
      <c r="A12" t="s">
        <v>14</v>
      </c>
      <c r="B12" t="s">
        <v>32</v>
      </c>
      <c r="C12" s="1">
        <v>13.9</v>
      </c>
      <c r="D12" s="4">
        <v>40</v>
      </c>
      <c r="E12" s="4">
        <v>40</v>
      </c>
      <c r="F12" s="4">
        <v>40</v>
      </c>
      <c r="G12" s="4">
        <v>43</v>
      </c>
      <c r="H12" s="4">
        <v>45</v>
      </c>
      <c r="I12" s="14">
        <f t="shared" si="8"/>
        <v>0</v>
      </c>
      <c r="J12" s="14">
        <f t="shared" si="8"/>
        <v>0</v>
      </c>
      <c r="K12" s="14">
        <f t="shared" si="4"/>
        <v>0</v>
      </c>
      <c r="L12" s="14">
        <f t="shared" si="4"/>
        <v>3</v>
      </c>
      <c r="M12" s="14">
        <f t="shared" si="4"/>
        <v>5</v>
      </c>
      <c r="N12" s="8">
        <f t="shared" si="9"/>
        <v>556</v>
      </c>
      <c r="O12" s="8">
        <f t="shared" si="5"/>
        <v>556</v>
      </c>
      <c r="P12" s="8">
        <f t="shared" si="10"/>
        <v>556</v>
      </c>
      <c r="Q12" s="8">
        <f t="shared" si="11"/>
        <v>597.70000000000005</v>
      </c>
      <c r="R12" s="8">
        <f t="shared" si="12"/>
        <v>625.5</v>
      </c>
      <c r="S12" s="16">
        <f t="shared" si="13"/>
        <v>0</v>
      </c>
      <c r="T12" s="16">
        <f t="shared" si="6"/>
        <v>0</v>
      </c>
      <c r="U12" s="16">
        <f t="shared" si="6"/>
        <v>0</v>
      </c>
      <c r="V12" s="16">
        <f t="shared" si="6"/>
        <v>60</v>
      </c>
      <c r="W12" s="16">
        <f t="shared" si="6"/>
        <v>107.5</v>
      </c>
      <c r="X12" s="17">
        <f t="shared" si="14"/>
        <v>556</v>
      </c>
      <c r="Y12" s="17">
        <f t="shared" si="7"/>
        <v>556</v>
      </c>
      <c r="Z12" s="17">
        <f t="shared" si="7"/>
        <v>556</v>
      </c>
      <c r="AA12" s="17">
        <f t="shared" si="7"/>
        <v>657.7</v>
      </c>
      <c r="AB12" s="17">
        <f t="shared" si="7"/>
        <v>733</v>
      </c>
    </row>
    <row r="13" spans="1:28" x14ac:dyDescent="0.35">
      <c r="A13" t="s">
        <v>15</v>
      </c>
      <c r="B13" t="s">
        <v>33</v>
      </c>
      <c r="C13" s="1">
        <v>11.2</v>
      </c>
      <c r="D13" s="4">
        <v>40</v>
      </c>
      <c r="E13" s="4">
        <v>39</v>
      </c>
      <c r="F13" s="4">
        <v>39</v>
      </c>
      <c r="G13" s="4">
        <v>44</v>
      </c>
      <c r="H13" s="4">
        <v>46</v>
      </c>
      <c r="I13" s="14">
        <f t="shared" si="8"/>
        <v>0</v>
      </c>
      <c r="J13" s="14">
        <f t="shared" si="8"/>
        <v>0</v>
      </c>
      <c r="K13" s="14">
        <f t="shared" si="4"/>
        <v>0</v>
      </c>
      <c r="L13" s="14">
        <f t="shared" si="4"/>
        <v>4</v>
      </c>
      <c r="M13" s="14">
        <f t="shared" si="4"/>
        <v>6</v>
      </c>
      <c r="N13" s="8">
        <f t="shared" si="9"/>
        <v>448</v>
      </c>
      <c r="O13" s="8">
        <f t="shared" si="5"/>
        <v>436.79999999999995</v>
      </c>
      <c r="P13" s="8">
        <f t="shared" si="10"/>
        <v>436.79999999999995</v>
      </c>
      <c r="Q13" s="8">
        <f t="shared" si="11"/>
        <v>492.79999999999995</v>
      </c>
      <c r="R13" s="8">
        <f t="shared" si="12"/>
        <v>515.19999999999993</v>
      </c>
      <c r="S13" s="16">
        <f t="shared" si="13"/>
        <v>0</v>
      </c>
      <c r="T13" s="16">
        <f t="shared" si="6"/>
        <v>0</v>
      </c>
      <c r="U13" s="16">
        <f t="shared" si="6"/>
        <v>0</v>
      </c>
      <c r="V13" s="16">
        <f t="shared" si="6"/>
        <v>78</v>
      </c>
      <c r="W13" s="16">
        <f t="shared" si="6"/>
        <v>132</v>
      </c>
      <c r="X13" s="17">
        <f t="shared" si="14"/>
        <v>448</v>
      </c>
      <c r="Y13" s="17">
        <f t="shared" si="7"/>
        <v>436.79999999999995</v>
      </c>
      <c r="Z13" s="17">
        <f t="shared" si="7"/>
        <v>436.79999999999995</v>
      </c>
      <c r="AA13" s="17">
        <f t="shared" si="7"/>
        <v>570.79999999999995</v>
      </c>
      <c r="AB13" s="17">
        <f t="shared" si="7"/>
        <v>647.19999999999993</v>
      </c>
    </row>
    <row r="14" spans="1:28" x14ac:dyDescent="0.35">
      <c r="A14" t="s">
        <v>16</v>
      </c>
      <c r="B14" t="s">
        <v>34</v>
      </c>
      <c r="C14" s="1">
        <v>10.1</v>
      </c>
      <c r="D14" s="4">
        <v>40</v>
      </c>
      <c r="E14" s="4">
        <v>35</v>
      </c>
      <c r="F14" s="4">
        <v>37</v>
      </c>
      <c r="G14" s="4">
        <v>45</v>
      </c>
      <c r="H14" s="4">
        <v>44</v>
      </c>
      <c r="I14" s="14">
        <f t="shared" si="8"/>
        <v>0</v>
      </c>
      <c r="J14" s="14">
        <f t="shared" si="8"/>
        <v>0</v>
      </c>
      <c r="K14" s="14">
        <f t="shared" si="4"/>
        <v>0</v>
      </c>
      <c r="L14" s="14">
        <f t="shared" si="4"/>
        <v>5</v>
      </c>
      <c r="M14" s="14">
        <f t="shared" si="4"/>
        <v>4</v>
      </c>
      <c r="N14" s="8">
        <f t="shared" si="9"/>
        <v>404</v>
      </c>
      <c r="O14" s="8">
        <f t="shared" si="5"/>
        <v>353.5</v>
      </c>
      <c r="P14" s="8">
        <f t="shared" si="10"/>
        <v>373.7</v>
      </c>
      <c r="Q14" s="8">
        <f t="shared" si="11"/>
        <v>454.5</v>
      </c>
      <c r="R14" s="8">
        <f t="shared" si="12"/>
        <v>444.4</v>
      </c>
      <c r="S14" s="16">
        <f t="shared" si="13"/>
        <v>0</v>
      </c>
      <c r="T14" s="16">
        <f t="shared" si="6"/>
        <v>0</v>
      </c>
      <c r="U14" s="16">
        <f t="shared" si="6"/>
        <v>0</v>
      </c>
      <c r="V14" s="16">
        <f t="shared" si="6"/>
        <v>92.5</v>
      </c>
      <c r="W14" s="16">
        <f t="shared" si="6"/>
        <v>90</v>
      </c>
      <c r="X14" s="17">
        <f t="shared" si="14"/>
        <v>404</v>
      </c>
      <c r="Y14" s="17">
        <f t="shared" si="7"/>
        <v>353.5</v>
      </c>
      <c r="Z14" s="17">
        <f t="shared" si="7"/>
        <v>373.7</v>
      </c>
      <c r="AA14" s="17">
        <f t="shared" si="7"/>
        <v>547</v>
      </c>
      <c r="AB14" s="17">
        <f t="shared" si="7"/>
        <v>534.4</v>
      </c>
    </row>
    <row r="15" spans="1:28" x14ac:dyDescent="0.35">
      <c r="A15" t="s">
        <v>17</v>
      </c>
      <c r="B15" t="s">
        <v>35</v>
      </c>
      <c r="C15" s="1">
        <v>9</v>
      </c>
      <c r="D15" s="4">
        <v>42</v>
      </c>
      <c r="E15" s="4">
        <v>39</v>
      </c>
      <c r="F15" s="4">
        <v>35</v>
      </c>
      <c r="G15" s="4">
        <v>39</v>
      </c>
      <c r="H15" s="4">
        <v>43</v>
      </c>
      <c r="I15" s="14">
        <f t="shared" si="8"/>
        <v>2</v>
      </c>
      <c r="J15" s="14">
        <f t="shared" si="8"/>
        <v>0</v>
      </c>
      <c r="K15" s="14">
        <f t="shared" si="4"/>
        <v>0</v>
      </c>
      <c r="L15" s="14">
        <f t="shared" si="4"/>
        <v>0</v>
      </c>
      <c r="M15" s="14">
        <f t="shared" si="4"/>
        <v>3</v>
      </c>
      <c r="N15" s="8">
        <f t="shared" si="9"/>
        <v>378</v>
      </c>
      <c r="O15" s="8">
        <f t="shared" si="5"/>
        <v>351</v>
      </c>
      <c r="P15" s="8">
        <f t="shared" si="10"/>
        <v>315</v>
      </c>
      <c r="Q15" s="8">
        <f t="shared" si="11"/>
        <v>351</v>
      </c>
      <c r="R15" s="8">
        <f t="shared" si="12"/>
        <v>387</v>
      </c>
      <c r="S15" s="16">
        <f t="shared" si="13"/>
        <v>9</v>
      </c>
      <c r="T15" s="16">
        <f>0.5*D15*J15</f>
        <v>0</v>
      </c>
      <c r="U15" s="16">
        <f t="shared" si="6"/>
        <v>0</v>
      </c>
      <c r="V15" s="16">
        <f t="shared" si="6"/>
        <v>0</v>
      </c>
      <c r="W15" s="16">
        <f t="shared" si="6"/>
        <v>58.5</v>
      </c>
      <c r="X15" s="17">
        <f t="shared" si="14"/>
        <v>387</v>
      </c>
      <c r="Y15" s="17">
        <f t="shared" si="7"/>
        <v>351</v>
      </c>
      <c r="Z15" s="17">
        <f t="shared" si="7"/>
        <v>315</v>
      </c>
      <c r="AA15" s="17">
        <f t="shared" si="7"/>
        <v>351</v>
      </c>
      <c r="AB15" s="17">
        <f t="shared" si="7"/>
        <v>445.5</v>
      </c>
    </row>
    <row r="16" spans="1:28" x14ac:dyDescent="0.35">
      <c r="A16" t="s">
        <v>18</v>
      </c>
      <c r="B16" t="s">
        <v>39</v>
      </c>
      <c r="C16" s="1">
        <v>8.44</v>
      </c>
      <c r="D16" s="4">
        <v>40</v>
      </c>
      <c r="E16" s="4">
        <v>40</v>
      </c>
      <c r="F16" s="4">
        <v>36</v>
      </c>
      <c r="G16" s="4">
        <v>38</v>
      </c>
      <c r="H16" s="4">
        <v>42</v>
      </c>
      <c r="I16" s="14">
        <f t="shared" si="8"/>
        <v>0</v>
      </c>
      <c r="J16" s="14">
        <f t="shared" si="8"/>
        <v>0</v>
      </c>
      <c r="K16" s="14">
        <f t="shared" si="4"/>
        <v>0</v>
      </c>
      <c r="L16" s="14">
        <f t="shared" si="4"/>
        <v>0</v>
      </c>
      <c r="M16" s="14">
        <f t="shared" si="4"/>
        <v>2</v>
      </c>
      <c r="N16" s="8">
        <f t="shared" si="9"/>
        <v>337.59999999999997</v>
      </c>
      <c r="O16" s="8">
        <f t="shared" si="5"/>
        <v>337.59999999999997</v>
      </c>
      <c r="P16" s="8">
        <f t="shared" si="10"/>
        <v>303.83999999999997</v>
      </c>
      <c r="Q16" s="8">
        <f t="shared" si="11"/>
        <v>320.71999999999997</v>
      </c>
      <c r="R16" s="8">
        <f t="shared" si="12"/>
        <v>354.47999999999996</v>
      </c>
      <c r="S16" s="16">
        <f t="shared" si="13"/>
        <v>0</v>
      </c>
      <c r="T16" s="16">
        <f t="shared" si="6"/>
        <v>0</v>
      </c>
      <c r="U16" s="16">
        <f t="shared" si="6"/>
        <v>0</v>
      </c>
      <c r="V16" s="16">
        <f t="shared" si="6"/>
        <v>0</v>
      </c>
      <c r="W16" s="16">
        <f t="shared" si="6"/>
        <v>38</v>
      </c>
      <c r="X16" s="17">
        <f t="shared" si="14"/>
        <v>337.59999999999997</v>
      </c>
      <c r="Y16" s="17">
        <f t="shared" si="7"/>
        <v>337.59999999999997</v>
      </c>
      <c r="Z16" s="17">
        <f t="shared" si="7"/>
        <v>303.83999999999997</v>
      </c>
      <c r="AA16" s="17">
        <f t="shared" si="7"/>
        <v>320.71999999999997</v>
      </c>
      <c r="AB16" s="17">
        <f t="shared" si="7"/>
        <v>392.47999999999996</v>
      </c>
    </row>
    <row r="17" spans="1:28" x14ac:dyDescent="0.35">
      <c r="A17" t="s">
        <v>19</v>
      </c>
      <c r="B17" t="s">
        <v>36</v>
      </c>
      <c r="C17" s="1">
        <v>14.2</v>
      </c>
      <c r="D17" s="4">
        <v>40</v>
      </c>
      <c r="E17" s="4">
        <v>45</v>
      </c>
      <c r="F17" s="4">
        <v>40</v>
      </c>
      <c r="G17" s="4">
        <v>32</v>
      </c>
      <c r="H17" s="4">
        <v>39</v>
      </c>
      <c r="I17" s="14">
        <f t="shared" si="8"/>
        <v>0</v>
      </c>
      <c r="J17" s="14">
        <f>IF(E17&gt;40,E17-40,0)</f>
        <v>5</v>
      </c>
      <c r="K17" s="14">
        <f t="shared" si="4"/>
        <v>0</v>
      </c>
      <c r="L17" s="14">
        <f t="shared" si="4"/>
        <v>0</v>
      </c>
      <c r="M17" s="14">
        <f t="shared" si="4"/>
        <v>0</v>
      </c>
      <c r="N17" s="8">
        <f t="shared" si="9"/>
        <v>568</v>
      </c>
      <c r="O17" s="8">
        <f t="shared" si="5"/>
        <v>639</v>
      </c>
      <c r="P17" s="8">
        <f t="shared" si="10"/>
        <v>568</v>
      </c>
      <c r="Q17" s="8">
        <f t="shared" si="11"/>
        <v>454.4</v>
      </c>
      <c r="R17" s="8">
        <f t="shared" si="12"/>
        <v>553.79999999999995</v>
      </c>
      <c r="S17" s="16">
        <f t="shared" si="13"/>
        <v>0</v>
      </c>
      <c r="T17" s="16">
        <f>0.5*D17*J17</f>
        <v>100</v>
      </c>
      <c r="U17" s="16">
        <f t="shared" si="6"/>
        <v>0</v>
      </c>
      <c r="V17" s="16">
        <f t="shared" si="6"/>
        <v>0</v>
      </c>
      <c r="W17" s="16">
        <f t="shared" si="6"/>
        <v>0</v>
      </c>
      <c r="X17" s="17">
        <f t="shared" si="14"/>
        <v>568</v>
      </c>
      <c r="Y17" s="17">
        <f t="shared" si="7"/>
        <v>739</v>
      </c>
      <c r="Z17" s="17">
        <f t="shared" si="7"/>
        <v>568</v>
      </c>
      <c r="AA17" s="17">
        <f t="shared" si="7"/>
        <v>454.4</v>
      </c>
      <c r="AB17" s="17">
        <f t="shared" si="7"/>
        <v>553.79999999999995</v>
      </c>
    </row>
    <row r="18" spans="1:28" x14ac:dyDescent="0.35">
      <c r="A18" t="s">
        <v>20</v>
      </c>
      <c r="B18" t="s">
        <v>37</v>
      </c>
      <c r="C18" s="1">
        <v>45</v>
      </c>
      <c r="D18" s="4">
        <v>41</v>
      </c>
      <c r="E18" s="4">
        <v>32</v>
      </c>
      <c r="F18" s="4">
        <v>41</v>
      </c>
      <c r="G18" s="4">
        <v>33</v>
      </c>
      <c r="H18" s="4">
        <v>40</v>
      </c>
      <c r="I18" s="14">
        <f t="shared" si="8"/>
        <v>1</v>
      </c>
      <c r="J18" s="14">
        <f t="shared" si="8"/>
        <v>0</v>
      </c>
      <c r="K18" s="14">
        <f t="shared" si="4"/>
        <v>1</v>
      </c>
      <c r="L18" s="14">
        <f t="shared" si="4"/>
        <v>0</v>
      </c>
      <c r="M18" s="14">
        <f t="shared" si="4"/>
        <v>0</v>
      </c>
      <c r="N18" s="8">
        <f t="shared" si="9"/>
        <v>1845</v>
      </c>
      <c r="O18" s="8">
        <f t="shared" si="5"/>
        <v>1440</v>
      </c>
      <c r="P18" s="8">
        <f t="shared" si="10"/>
        <v>1845</v>
      </c>
      <c r="Q18" s="8">
        <f t="shared" si="11"/>
        <v>1485</v>
      </c>
      <c r="R18" s="8">
        <f t="shared" si="12"/>
        <v>1800</v>
      </c>
      <c r="S18" s="16">
        <f t="shared" si="13"/>
        <v>22.5</v>
      </c>
      <c r="T18" s="16">
        <f t="shared" si="6"/>
        <v>0</v>
      </c>
      <c r="U18" s="16">
        <f t="shared" si="6"/>
        <v>16</v>
      </c>
      <c r="V18" s="16">
        <f t="shared" si="6"/>
        <v>0</v>
      </c>
      <c r="W18" s="16">
        <f t="shared" si="6"/>
        <v>0</v>
      </c>
      <c r="X18" s="17">
        <f t="shared" si="14"/>
        <v>1867.5</v>
      </c>
      <c r="Y18" s="17">
        <f t="shared" si="7"/>
        <v>1440</v>
      </c>
      <c r="Z18" s="17">
        <f t="shared" si="7"/>
        <v>1861</v>
      </c>
      <c r="AA18" s="17">
        <f t="shared" si="7"/>
        <v>1485</v>
      </c>
      <c r="AB18" s="17">
        <f t="shared" si="7"/>
        <v>1800</v>
      </c>
    </row>
    <row r="19" spans="1:28" x14ac:dyDescent="0.35">
      <c r="A19" t="s">
        <v>21</v>
      </c>
      <c r="B19" t="s">
        <v>22</v>
      </c>
      <c r="C19" s="1">
        <v>30</v>
      </c>
      <c r="D19" s="4">
        <v>39</v>
      </c>
      <c r="E19" s="4">
        <v>33</v>
      </c>
      <c r="F19" s="4">
        <v>42</v>
      </c>
      <c r="G19" s="4">
        <v>38</v>
      </c>
      <c r="H19" s="4">
        <v>40</v>
      </c>
      <c r="I19" s="14">
        <f t="shared" si="8"/>
        <v>0</v>
      </c>
      <c r="J19" s="14">
        <f t="shared" si="8"/>
        <v>0</v>
      </c>
      <c r="K19" s="14">
        <f t="shared" si="4"/>
        <v>2</v>
      </c>
      <c r="L19" s="14">
        <f t="shared" si="4"/>
        <v>0</v>
      </c>
      <c r="M19" s="14">
        <f t="shared" si="4"/>
        <v>0</v>
      </c>
      <c r="N19" s="8">
        <f t="shared" si="9"/>
        <v>1170</v>
      </c>
      <c r="O19" s="8">
        <f t="shared" si="5"/>
        <v>990</v>
      </c>
      <c r="P19" s="8">
        <f t="shared" si="10"/>
        <v>1260</v>
      </c>
      <c r="Q19" s="8">
        <f t="shared" si="11"/>
        <v>1140</v>
      </c>
      <c r="R19" s="8">
        <f t="shared" si="12"/>
        <v>1200</v>
      </c>
      <c r="S19" s="16">
        <f t="shared" si="13"/>
        <v>0</v>
      </c>
      <c r="T19" s="16">
        <f t="shared" si="6"/>
        <v>0</v>
      </c>
      <c r="U19" s="16">
        <f t="shared" si="6"/>
        <v>33</v>
      </c>
      <c r="V19" s="16">
        <f t="shared" si="6"/>
        <v>0</v>
      </c>
      <c r="W19" s="16">
        <f t="shared" si="6"/>
        <v>0</v>
      </c>
      <c r="X19" s="17">
        <f t="shared" si="14"/>
        <v>1170</v>
      </c>
      <c r="Y19" s="17">
        <f t="shared" si="7"/>
        <v>990</v>
      </c>
      <c r="Z19" s="17">
        <f t="shared" si="7"/>
        <v>1293</v>
      </c>
      <c r="AA19" s="17">
        <f t="shared" si="7"/>
        <v>1140</v>
      </c>
      <c r="AB19" s="17">
        <f t="shared" si="7"/>
        <v>1200</v>
      </c>
    </row>
    <row r="20" spans="1:28" x14ac:dyDescent="0.35">
      <c r="A20" t="s">
        <v>38</v>
      </c>
      <c r="B20" t="s">
        <v>26</v>
      </c>
      <c r="C20" s="1">
        <v>19.100000000000001</v>
      </c>
      <c r="D20" s="4">
        <v>41</v>
      </c>
      <c r="E20" s="4">
        <v>45</v>
      </c>
      <c r="F20" s="4">
        <v>44</v>
      </c>
      <c r="G20" s="4">
        <v>40</v>
      </c>
      <c r="H20" s="4">
        <v>39</v>
      </c>
      <c r="I20" s="14">
        <f t="shared" si="8"/>
        <v>1</v>
      </c>
      <c r="J20" s="14">
        <f t="shared" si="8"/>
        <v>5</v>
      </c>
      <c r="K20" s="14">
        <f t="shared" ref="K20" si="15">IF(F20&gt;40,F20-40,0)</f>
        <v>4</v>
      </c>
      <c r="L20" s="14">
        <f t="shared" ref="L20" si="16">IF(G20&gt;40,G20-40,0)</f>
        <v>0</v>
      </c>
      <c r="M20" s="14">
        <f t="shared" ref="M20" si="17">IF(H20&gt;40,H20-40,0)</f>
        <v>0</v>
      </c>
      <c r="N20" s="8">
        <f t="shared" si="9"/>
        <v>783.1</v>
      </c>
      <c r="O20" s="8">
        <f t="shared" si="5"/>
        <v>859.50000000000011</v>
      </c>
      <c r="P20" s="8">
        <f t="shared" si="10"/>
        <v>840.40000000000009</v>
      </c>
      <c r="Q20" s="8">
        <f t="shared" si="11"/>
        <v>764</v>
      </c>
      <c r="R20" s="8">
        <f t="shared" si="12"/>
        <v>744.90000000000009</v>
      </c>
      <c r="S20" s="16">
        <f t="shared" si="13"/>
        <v>9.5500000000000007</v>
      </c>
      <c r="T20" s="16">
        <f t="shared" ref="T20" si="18">0.5*D20*J20</f>
        <v>102.5</v>
      </c>
      <c r="U20" s="16">
        <f t="shared" ref="U20" si="19">0.5*E20*K20</f>
        <v>90</v>
      </c>
      <c r="V20" s="16">
        <f t="shared" ref="V20" si="20">0.5*F20*L20</f>
        <v>0</v>
      </c>
      <c r="W20" s="16">
        <f t="shared" ref="W20" si="21">0.5*G20*M20</f>
        <v>0</v>
      </c>
      <c r="X20" s="17">
        <f t="shared" si="14"/>
        <v>792.65</v>
      </c>
      <c r="Y20" s="17">
        <f t="shared" ref="Y20" si="22">O20+T20</f>
        <v>962.00000000000011</v>
      </c>
      <c r="Z20" s="17">
        <f t="shared" ref="Z20" si="23">P20+U20</f>
        <v>930.40000000000009</v>
      </c>
      <c r="AA20" s="17">
        <f t="shared" ref="AA20" si="24">Q20+V20</f>
        <v>764</v>
      </c>
      <c r="AB20" s="17">
        <f t="shared" ref="AB20" si="25">R20+W20</f>
        <v>744.90000000000009</v>
      </c>
    </row>
    <row r="23" spans="1:28" x14ac:dyDescent="0.35">
      <c r="A23" t="s">
        <v>40</v>
      </c>
      <c r="C23" s="1">
        <f>MAX(C4:C20)</f>
        <v>45</v>
      </c>
      <c r="D23" s="2">
        <f>MAX(D4:D20)</f>
        <v>55</v>
      </c>
      <c r="E23" s="13">
        <f>MAX(E4:E20)</f>
        <v>46</v>
      </c>
      <c r="F23" s="13">
        <f t="shared" ref="F23:H23" si="26">MAX(F4:F20)</f>
        <v>45</v>
      </c>
      <c r="G23" s="13">
        <f t="shared" si="26"/>
        <v>45</v>
      </c>
      <c r="H23" s="13">
        <f t="shared" si="26"/>
        <v>47</v>
      </c>
      <c r="I23" s="13">
        <f t="shared" ref="I23:M23" si="27">MAX(I4:I20)</f>
        <v>15</v>
      </c>
      <c r="J23" s="13">
        <f t="shared" si="27"/>
        <v>6</v>
      </c>
      <c r="K23" s="13">
        <f t="shared" si="27"/>
        <v>5</v>
      </c>
      <c r="L23" s="13">
        <f t="shared" si="27"/>
        <v>5</v>
      </c>
      <c r="M23" s="13">
        <f t="shared" si="27"/>
        <v>7</v>
      </c>
      <c r="N23" s="1">
        <f>MAX(N4:N20)</f>
        <v>1845</v>
      </c>
      <c r="O23" s="1">
        <f t="shared" ref="O23:R23" si="28">MAX(O4:O20)</f>
        <v>1440</v>
      </c>
      <c r="P23" s="1">
        <f t="shared" si="28"/>
        <v>1845</v>
      </c>
      <c r="Q23" s="1">
        <f t="shared" si="28"/>
        <v>1485</v>
      </c>
      <c r="R23" s="1">
        <f t="shared" si="28"/>
        <v>1800</v>
      </c>
      <c r="S23" s="1">
        <f t="shared" ref="S23:AB23" si="29">MAX(S4:S20)</f>
        <v>135</v>
      </c>
      <c r="T23" s="1">
        <f t="shared" si="29"/>
        <v>165</v>
      </c>
      <c r="U23" s="1">
        <f t="shared" si="29"/>
        <v>102.5</v>
      </c>
      <c r="V23" s="1">
        <f t="shared" si="29"/>
        <v>112.5</v>
      </c>
      <c r="W23" s="1">
        <f t="shared" si="29"/>
        <v>136.5</v>
      </c>
      <c r="X23" s="1">
        <f t="shared" si="29"/>
        <v>1867.5</v>
      </c>
      <c r="Y23" s="1">
        <f t="shared" si="29"/>
        <v>1440</v>
      </c>
      <c r="Z23" s="1">
        <f t="shared" si="29"/>
        <v>1861</v>
      </c>
      <c r="AA23" s="1">
        <f t="shared" si="29"/>
        <v>1485</v>
      </c>
      <c r="AB23" s="1">
        <f t="shared" si="29"/>
        <v>1800</v>
      </c>
    </row>
    <row r="24" spans="1:28" x14ac:dyDescent="0.35">
      <c r="A24" t="s">
        <v>41</v>
      </c>
      <c r="C24" s="1">
        <f>MIN(C4:C20)</f>
        <v>6.9</v>
      </c>
      <c r="D24" s="2">
        <f>MIN(D4:D20)</f>
        <v>29</v>
      </c>
      <c r="E24" s="13">
        <f>MIN(E4:E20)</f>
        <v>32</v>
      </c>
      <c r="F24" s="13">
        <f t="shared" ref="F24:H24" si="30">MIN(F4:F20)</f>
        <v>35</v>
      </c>
      <c r="G24" s="13">
        <f t="shared" si="30"/>
        <v>32</v>
      </c>
      <c r="H24" s="13">
        <f t="shared" si="30"/>
        <v>31</v>
      </c>
      <c r="I24" s="13">
        <f t="shared" ref="I24:M24" si="31">MIN(I4:I20)</f>
        <v>0</v>
      </c>
      <c r="J24" s="13">
        <f t="shared" si="31"/>
        <v>0</v>
      </c>
      <c r="K24" s="13">
        <f t="shared" si="31"/>
        <v>0</v>
      </c>
      <c r="L24" s="13">
        <f t="shared" si="31"/>
        <v>0</v>
      </c>
      <c r="M24" s="13">
        <f t="shared" si="31"/>
        <v>0</v>
      </c>
      <c r="N24" s="1">
        <f>MIN(N4:N20)</f>
        <v>269.10000000000002</v>
      </c>
      <c r="O24" s="1">
        <f t="shared" ref="O24:R24" si="32">MIN(O4:O20)</f>
        <v>227.70000000000002</v>
      </c>
      <c r="P24" s="1">
        <f t="shared" si="32"/>
        <v>276</v>
      </c>
      <c r="Q24" s="1">
        <f t="shared" si="32"/>
        <v>276</v>
      </c>
      <c r="R24" s="1">
        <f t="shared" si="32"/>
        <v>255.3</v>
      </c>
      <c r="S24" s="1">
        <f t="shared" ref="S24:AB24" si="33">MIN(S4:S20)</f>
        <v>0</v>
      </c>
      <c r="T24" s="1">
        <f t="shared" si="33"/>
        <v>0</v>
      </c>
      <c r="U24" s="1">
        <f t="shared" si="33"/>
        <v>0</v>
      </c>
      <c r="V24" s="1">
        <f t="shared" si="33"/>
        <v>0</v>
      </c>
      <c r="W24" s="1">
        <f t="shared" si="33"/>
        <v>0</v>
      </c>
      <c r="X24" s="1">
        <f t="shared" si="33"/>
        <v>269.10000000000002</v>
      </c>
      <c r="Y24" s="1">
        <f t="shared" si="33"/>
        <v>227.70000000000002</v>
      </c>
      <c r="Z24" s="1">
        <f t="shared" si="33"/>
        <v>276</v>
      </c>
      <c r="AA24" s="1">
        <f t="shared" si="33"/>
        <v>276</v>
      </c>
      <c r="AB24" s="1">
        <f t="shared" si="33"/>
        <v>255.3</v>
      </c>
    </row>
    <row r="25" spans="1:28" x14ac:dyDescent="0.35">
      <c r="A25" t="s">
        <v>42</v>
      </c>
      <c r="C25" s="1">
        <f>AVERAGE(C4:C20)</f>
        <v>16.484705882352941</v>
      </c>
      <c r="D25" s="2">
        <f>AVERAGE(D4:D20)</f>
        <v>40.882352941176471</v>
      </c>
      <c r="E25" s="13">
        <f>AVERAGE(E4:E20)</f>
        <v>39.294117647058826</v>
      </c>
      <c r="F25" s="13">
        <f t="shared" ref="F25:H25" si="34">AVERAGE(F4:F20)</f>
        <v>40.294117647058826</v>
      </c>
      <c r="G25" s="13">
        <f t="shared" si="34"/>
        <v>39.411764705882355</v>
      </c>
      <c r="H25" s="13">
        <f t="shared" si="34"/>
        <v>40.058823529411768</v>
      </c>
      <c r="I25" s="13">
        <f t="shared" ref="I25:M25" si="35">AVERAGE(I4:I20)</f>
        <v>2.0588235294117645</v>
      </c>
      <c r="J25" s="13">
        <f t="shared" si="35"/>
        <v>1.2941176470588236</v>
      </c>
      <c r="K25" s="13">
        <f t="shared" si="35"/>
        <v>1.1176470588235294</v>
      </c>
      <c r="L25" s="13">
        <f t="shared" si="35"/>
        <v>1.2352941176470589</v>
      </c>
      <c r="M25" s="13">
        <f t="shared" si="35"/>
        <v>1.7647058823529411</v>
      </c>
      <c r="N25" s="1">
        <f>AVERAGE(N4:N20)</f>
        <v>678.36470588235295</v>
      </c>
      <c r="O25" s="1">
        <f t="shared" ref="O25:R25" si="36">AVERAGE(O4:O20)</f>
        <v>637.76470588235293</v>
      </c>
      <c r="P25" s="1">
        <f t="shared" si="36"/>
        <v>671.33176470588228</v>
      </c>
      <c r="Q25" s="1">
        <f t="shared" si="36"/>
        <v>633.76588235294116</v>
      </c>
      <c r="R25" s="1">
        <f t="shared" si="36"/>
        <v>651.15176470588233</v>
      </c>
      <c r="S25" s="1">
        <f t="shared" ref="S25:AB25" si="37">AVERAGE(S4:S20)</f>
        <v>18.932352941176472</v>
      </c>
      <c r="T25" s="1">
        <f t="shared" si="37"/>
        <v>28.470588235294116</v>
      </c>
      <c r="U25" s="1">
        <f t="shared" si="37"/>
        <v>22.147058823529413</v>
      </c>
      <c r="V25" s="1">
        <f t="shared" si="37"/>
        <v>25.029411764705884</v>
      </c>
      <c r="W25" s="1">
        <f t="shared" si="37"/>
        <v>36.352941176470587</v>
      </c>
      <c r="X25" s="1">
        <f t="shared" si="37"/>
        <v>697.29705882352948</v>
      </c>
      <c r="Y25" s="1">
        <f t="shared" si="37"/>
        <v>666.23529411764707</v>
      </c>
      <c r="Z25" s="1">
        <f t="shared" si="37"/>
        <v>693.47882352941178</v>
      </c>
      <c r="AA25" s="1">
        <f t="shared" si="37"/>
        <v>658.79529411764713</v>
      </c>
      <c r="AB25" s="1">
        <f t="shared" si="37"/>
        <v>687.50470588235294</v>
      </c>
    </row>
    <row r="26" spans="1:28" x14ac:dyDescent="0.35">
      <c r="A26" t="s">
        <v>43</v>
      </c>
      <c r="C26" s="1">
        <f>SUM(C4:C20)</f>
        <v>280.24</v>
      </c>
      <c r="D26">
        <f>SUM(D4:D20)</f>
        <v>695</v>
      </c>
      <c r="E26" s="13">
        <f>SUM(E4:E20)</f>
        <v>668</v>
      </c>
      <c r="F26" s="13">
        <f t="shared" ref="F26:H26" si="38">SUM(F4:F20)</f>
        <v>685</v>
      </c>
      <c r="G26" s="13">
        <f t="shared" si="38"/>
        <v>670</v>
      </c>
      <c r="H26" s="13">
        <f t="shared" si="38"/>
        <v>681</v>
      </c>
      <c r="I26" s="13">
        <f t="shared" ref="I26:M26" si="39">SUM(I4:I20)</f>
        <v>35</v>
      </c>
      <c r="J26" s="13">
        <f t="shared" si="39"/>
        <v>22</v>
      </c>
      <c r="K26" s="13">
        <f t="shared" si="39"/>
        <v>19</v>
      </c>
      <c r="L26" s="13">
        <f t="shared" si="39"/>
        <v>21</v>
      </c>
      <c r="M26" s="13">
        <f t="shared" si="39"/>
        <v>30</v>
      </c>
      <c r="N26" s="3">
        <f>SUM(N4:N20)</f>
        <v>11532.2</v>
      </c>
      <c r="O26" s="3">
        <f t="shared" ref="O26:R26" si="40">SUM(O4:O20)</f>
        <v>10842</v>
      </c>
      <c r="P26" s="3">
        <f t="shared" si="40"/>
        <v>11412.64</v>
      </c>
      <c r="Q26" s="3">
        <f t="shared" si="40"/>
        <v>10774.02</v>
      </c>
      <c r="R26" s="3">
        <f t="shared" si="40"/>
        <v>11069.58</v>
      </c>
      <c r="S26" s="3">
        <f t="shared" ref="S26:AB26" si="41">SUM(S4:S20)</f>
        <v>321.85000000000002</v>
      </c>
      <c r="T26" s="3">
        <f t="shared" si="41"/>
        <v>484</v>
      </c>
      <c r="U26" s="3">
        <f t="shared" si="41"/>
        <v>376.5</v>
      </c>
      <c r="V26" s="3">
        <f t="shared" si="41"/>
        <v>425.5</v>
      </c>
      <c r="W26" s="3">
        <f t="shared" si="41"/>
        <v>618</v>
      </c>
      <c r="X26" s="3">
        <f t="shared" si="41"/>
        <v>11854.050000000001</v>
      </c>
      <c r="Y26" s="3">
        <f t="shared" si="41"/>
        <v>11326</v>
      </c>
      <c r="Z26" s="3">
        <f t="shared" si="41"/>
        <v>11789.14</v>
      </c>
      <c r="AA26" s="3">
        <f t="shared" si="41"/>
        <v>11199.52</v>
      </c>
      <c r="AB26" s="3">
        <f t="shared" si="41"/>
        <v>11687.58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 SEGUE</dc:creator>
  <cp:lastModifiedBy>Freeman SEGUE</cp:lastModifiedBy>
  <cp:lastPrinted>2026-06-09T09:11:37Z</cp:lastPrinted>
  <dcterms:created xsi:type="dcterms:W3CDTF">2026-06-08T10:21:31Z</dcterms:created>
  <dcterms:modified xsi:type="dcterms:W3CDTF">2026-06-09T09:13:09Z</dcterms:modified>
</cp:coreProperties>
</file>